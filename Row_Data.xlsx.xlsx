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FUTURE_DS_02\"/>
    </mc:Choice>
  </mc:AlternateContent>
  <bookViews>
    <workbookView xWindow="0" yWindow="0" windowWidth="20490" windowHeight="7530"/>
  </bookViews>
  <sheets>
    <sheet name="Row data" sheetId="8" r:id="rId1"/>
    <sheet name="Clean dataset" sheetId="1" r:id="rId2"/>
    <sheet name="Dashboard" sheetId="2" r:id="rId3"/>
    <sheet name="insight_Report" sheetId="9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2" l="1"/>
  <c r="M6" i="1"/>
  <c r="M4" i="1"/>
  <c r="M2" i="1"/>
  <c r="F61" i="2" l="1"/>
  <c r="D58" i="2"/>
  <c r="H57" i="2"/>
  <c r="F54" i="2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F57" i="2"/>
</calcChain>
</file>

<file path=xl/sharedStrings.xml><?xml version="1.0" encoding="utf-8"?>
<sst xmlns="http://schemas.openxmlformats.org/spreadsheetml/2006/main" count="429" uniqueCount="81">
  <si>
    <t>Customer_ID</t>
  </si>
  <si>
    <t>Join_Date</t>
  </si>
  <si>
    <t>Last_Active_Date</t>
  </si>
  <si>
    <t>Plan_Type</t>
  </si>
  <si>
    <t>Monthly_Fee</t>
  </si>
  <si>
    <t>Status</t>
  </si>
  <si>
    <t>Churn_Reason</t>
  </si>
  <si>
    <t>C001</t>
  </si>
  <si>
    <t>Basic</t>
  </si>
  <si>
    <t>Churned</t>
  </si>
  <si>
    <t>Price</t>
  </si>
  <si>
    <t>C002</t>
  </si>
  <si>
    <t>Premium</t>
  </si>
  <si>
    <t>Active</t>
  </si>
  <si>
    <t>-</t>
  </si>
  <si>
    <t>C003</t>
  </si>
  <si>
    <t>Service Issue</t>
  </si>
  <si>
    <t>C004</t>
  </si>
  <si>
    <t>Standard</t>
  </si>
  <si>
    <t>C005</t>
  </si>
  <si>
    <t>Competitor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</si>
  <si>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</si>
  <si>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</si>
  <si>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</si>
  <si>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</si>
  <si>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</si>
  <si>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</si>
  <si>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</si>
  <si>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</si>
  <si>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</si>
  <si>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</si>
  <si>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</si>
  <si>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</si>
  <si>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</si>
  <si>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</si>
  <si>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</si>
  <si>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</si>
  <si>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</si>
  <si>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</si>
  <si>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</si>
  <si>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</si>
  <si>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</si>
  <si>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</si>
  <si>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</si>
  <si>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</si>
  <si>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</si>
  <si>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</si>
  <si>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</si>
  <si>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</si>
  <si>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</si>
  <si>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</si>
  <si>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</si>
  <si>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</si>
  <si>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</si>
  <si>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</si>
  <si>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</si>
  <si>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</si>
  <si>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</si>
  <si>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</si>
  <si>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</si>
  <si>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</si>
  <si>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</si>
  <si>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</si>
  <si>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</si>
  <si>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</si>
  <si>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</si>
  <si>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Tenure_Months</t>
  </si>
  <si>
    <t>Revenue_Lost</t>
  </si>
  <si>
    <t>Join_Month</t>
  </si>
  <si>
    <t>Customer Retention &amp; Churn Analysis</t>
  </si>
  <si>
    <t>1. Churn rate is high (50%)</t>
  </si>
  <si>
    <t>2. Price and Service Issues are main churn reasons</t>
  </si>
  <si>
    <t>3. Basic plan users churn more</t>
  </si>
  <si>
    <t>4. Premium users show higher retention</t>
  </si>
  <si>
    <t>1. Provide discount for Basic plan users</t>
  </si>
  <si>
    <t>2. Improve customer support quality</t>
  </si>
  <si>
    <t>3. Introduce loyalty rewards after 6 months</t>
  </si>
  <si>
    <t>4. Offer upgrade discount from Basic to Standard</t>
  </si>
  <si>
    <t>Insights</t>
  </si>
  <si>
    <t>Actionable Recommendations</t>
  </si>
  <si>
    <t xml:space="preserve"> Key 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</si>
</sst>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20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10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/>
    <xf numFmtId="9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9" fontId="0" fillId="0" borderId="0" xfId="1" applyFont="1"/>
    <xf numFmtId="0" fontId="0" fillId="2" borderId="0" xfId="0" applyFill="1" applyAlignment="1">
      <alignment horizontal="right"/>
    </xf>
    <xf numFmtId="0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Plan-wise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4748156480439"/>
          <c:y val="0.14365432098765435"/>
          <c:w val="0.88314408067412631"/>
          <c:h val="0.7022801594245163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Basic</c:v>
              </c:pt>
              <c:pt idx="1">
                <c:v>Standard</c:v>
              </c:pt>
            </c:strLit>
          </c:cat>
          <c:val>
            <c:numLit>
              <c:formatCode>General</c:formatCode>
              <c:ptCount val="2"/>
              <c:pt idx="0">
                <c:v>16</c:v>
              </c:pt>
              <c:pt idx="1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E4A7-4DA0-890E-DA856748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678312"/>
        <c:axId val="401681592"/>
      </c:barChart>
      <c:catAx>
        <c:axId val="40167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81592"/>
        <c:crosses val="autoZero"/>
        <c:auto val="1"/>
        <c:lblAlgn val="ctr"/>
        <c:lblOffset val="100"/>
        <c:noMultiLvlLbl val="0"/>
      </c:catAx>
      <c:valAx>
        <c:axId val="401681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78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639916413326029E-2"/>
          <c:y val="0.12541655929372464"/>
          <c:w val="0.84175240594925649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Competitor</c:v>
              </c:pt>
              <c:pt idx="1">
                <c:v>Price</c:v>
              </c:pt>
              <c:pt idx="2">
                <c:v>Service Issue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C976-4690-BC3C-B3B3E5E5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9954568"/>
        <c:axId val="409951616"/>
      </c:barChart>
      <c:catAx>
        <c:axId val="409954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1616"/>
        <c:crosses val="autoZero"/>
        <c:auto val="1"/>
        <c:lblAlgn val="ctr"/>
        <c:lblOffset val="100"/>
        <c:noMultiLvlLbl val="0"/>
      </c:catAx>
      <c:valAx>
        <c:axId val="409951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Lifetime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103501213291735E-2"/>
          <c:y val="0.12541666666666668"/>
          <c:w val="0.9043737928985291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Apr-2024</c:v>
              </c:pt>
              <c:pt idx="1">
                <c:v>Feb-2024</c:v>
              </c:pt>
              <c:pt idx="2">
                <c:v>Jan-2024</c:v>
              </c:pt>
              <c:pt idx="3">
                <c:v>Jun-2024</c:v>
              </c:pt>
              <c:pt idx="4">
                <c:v>Mar-2024</c:v>
              </c:pt>
              <c:pt idx="5">
                <c:v>May-2024</c:v>
              </c:pt>
            </c:strLit>
          </c:cat>
          <c:val>
            <c:numLit>
              <c:formatCode>General</c:formatCode>
              <c:ptCount val="6"/>
              <c:pt idx="0">
                <c:v>5</c:v>
              </c:pt>
              <c:pt idx="1">
                <c:v>4</c:v>
              </c:pt>
              <c:pt idx="2">
                <c:v>5</c:v>
              </c:pt>
              <c:pt idx="3">
                <c:v>1</c:v>
              </c:pt>
              <c:pt idx="4">
                <c:v>5</c:v>
              </c:pt>
              <c:pt idx="5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84-4F12-A784-929821DA9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74512"/>
        <c:axId val="319281536"/>
      </c:lineChart>
      <c:catAx>
        <c:axId val="40287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81536"/>
        <c:crosses val="autoZero"/>
        <c:auto val="1"/>
        <c:lblAlgn val="ctr"/>
        <c:lblOffset val="100"/>
        <c:noMultiLvlLbl val="0"/>
      </c:catAx>
      <c:valAx>
        <c:axId val="319281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745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609601</xdr:colOff>
      <xdr:row>0</xdr:row>
      <xdr:rowOff>85725</xdr:rowOff>
    </xdr:from>
    <xdr:to>
      <xdr:col>13</xdr:col>
      <xdr:colOff>352426</xdr:colOff>
      <xdr:row>2</xdr:row>
      <xdr:rowOff>57150</xdr:rowOff>
    </xdr:to>
    <xdr:sp macro="" textlink="">
      <xdr:nvSpPr>
        <xdr:cNvPr id="2" name="TextBox 1"/>
        <xdr:cNvSpPr txBox="1"/>
      </xdr:nvSpPr>
      <xdr:spPr>
        <a:xfrm>
          <a:off x="3657601" y="85725"/>
          <a:ext cx="4724400" cy="3524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/>
            <a:t>Customer Retention &amp; Churn Analysis</a:t>
          </a:r>
        </a:p>
      </xdr:txBody>
    </xdr:sp>
    <xdr:clientData/>
  </xdr:twoCellAnchor>
  <xdr:twoCellAnchor>
    <xdr:from>
      <xdr:col>0</xdr:col>
      <xdr:colOff>485774</xdr:colOff>
      <xdr:row>2</xdr:row>
      <xdr:rowOff>38101</xdr:rowOff>
    </xdr:from>
    <xdr:to>
      <xdr:col>4</xdr:col>
      <xdr:colOff>257175</xdr:colOff>
      <xdr:row>8</xdr:row>
      <xdr:rowOff>142875</xdr:rowOff>
    </xdr:to>
    <xdr:sp macro="" textlink="">
      <xdr:nvSpPr>
        <xdr:cNvPr id="3" name="TextBox 2"/>
        <xdr:cNvSpPr txBox="1"/>
      </xdr:nvSpPr>
      <xdr:spPr>
        <a:xfrm>
          <a:off x="485774" y="419101"/>
          <a:ext cx="2209801" cy="1247774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Customers
50</a:t>
          </a:r>
        </a:p>
      </xdr:txBody>
    </xdr:sp>
    <xdr:clientData/>
  </xdr:twoCellAnchor>
  <xdr:twoCellAnchor>
    <xdr:from>
      <xdr:col>5</xdr:col>
      <xdr:colOff>171450</xdr:colOff>
      <xdr:row>2</xdr:row>
      <xdr:rowOff>104776</xdr:rowOff>
    </xdr:from>
    <xdr:to>
      <xdr:col>9</xdr:col>
      <xdr:colOff>114300</xdr:colOff>
      <xdr:row>9</xdr:row>
      <xdr:rowOff>9526</xdr:rowOff>
    </xdr:to>
    <xdr:sp macro="" textlink="'Clean dataset'!M4">
      <xdr:nvSpPr>
        <xdr:cNvPr id="5" name="TextBox 4"/>
        <xdr:cNvSpPr txBox="1"/>
      </xdr:nvSpPr>
      <xdr:spPr>
        <a:xfrm>
          <a:off x="3219450" y="485776"/>
          <a:ext cx="2486025" cy="123825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FF4A57-225E-439C-A995-4518B9C5D008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
50%</a:t>
          </a:fld>
          <a:endParaRPr lang="en-GB" sz="1600" b="1"/>
        </a:p>
      </xdr:txBody>
    </xdr:sp>
    <xdr:clientData/>
  </xdr:twoCellAnchor>
  <xdr:twoCellAnchor>
    <xdr:from>
      <xdr:col>10</xdr:col>
      <xdr:colOff>276225</xdr:colOff>
      <xdr:row>2</xdr:row>
      <xdr:rowOff>85725</xdr:rowOff>
    </xdr:from>
    <xdr:to>
      <xdr:col>14</xdr:col>
      <xdr:colOff>76200</xdr:colOff>
      <xdr:row>9</xdr:row>
      <xdr:rowOff>19050</xdr:rowOff>
    </xdr:to>
    <xdr:sp macro="" textlink="$I$61">
      <xdr:nvSpPr>
        <xdr:cNvPr id="6" name="TextBox 5"/>
        <xdr:cNvSpPr txBox="1"/>
      </xdr:nvSpPr>
      <xdr:spPr>
        <a:xfrm>
          <a:off x="6477000" y="466725"/>
          <a:ext cx="2238375" cy="12668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1392FD8-7425-4ECA-81B1-B49337CD58C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 49%</a:t>
          </a:fld>
          <a:endParaRPr lang="en-GB" sz="1600" b="1"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49" name="Text Box 1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=COUNTIF(Raw_Data!F2:F51,"Churned")/COUNTA(Raw_Data!A2:A51)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504825</xdr:colOff>
      <xdr:row>2</xdr:row>
      <xdr:rowOff>85725</xdr:rowOff>
    </xdr:from>
    <xdr:to>
      <xdr:col>18</xdr:col>
      <xdr:colOff>161925</xdr:colOff>
      <xdr:row>9</xdr:row>
      <xdr:rowOff>9525</xdr:rowOff>
    </xdr:to>
    <xdr:sp macro="" textlink="F61">
      <xdr:nvSpPr>
        <xdr:cNvPr id="8" name="TextBox 7"/>
        <xdr:cNvSpPr txBox="1"/>
      </xdr:nvSpPr>
      <xdr:spPr>
        <a:xfrm>
          <a:off x="9144000" y="466725"/>
          <a:ext cx="2095500" cy="12573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86323F-B826-4E10-AD0E-3202A07E4983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Revenue Lost
₹ 70,078</a:t>
          </a:fld>
          <a:endParaRPr lang="en-US" sz="1400" b="1"/>
        </a:p>
      </xdr:txBody>
    </xdr:sp>
    <xdr:clientData/>
  </xdr:twoCellAnchor>
  <xdr:twoCellAnchor>
    <xdr:from>
      <xdr:col>0</xdr:col>
      <xdr:colOff>85725</xdr:colOff>
      <xdr:row>9</xdr:row>
      <xdr:rowOff>38100</xdr:rowOff>
    </xdr:from>
    <xdr:to>
      <xdr:col>6</xdr:col>
      <xdr:colOff>123825</xdr:colOff>
      <xdr:row>22</xdr:row>
      <xdr:rowOff>133350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9</xdr:row>
      <xdr:rowOff>66675</xdr:rowOff>
    </xdr:from>
    <xdr:to>
      <xdr:col>12</xdr:col>
      <xdr:colOff>581025</xdr:colOff>
      <xdr:row>23</xdr:row>
      <xdr:rowOff>19050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114301</xdr:colOff>
      <xdr:row>9</xdr:row>
      <xdr:rowOff>95250</xdr:rowOff>
    </xdr:from>
    <xdr:to>
      <xdr:col>19</xdr:col>
      <xdr:colOff>495301</xdr:colOff>
      <xdr:row>23</xdr:row>
      <xdr:rowOff>57150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A1:J52" totalsRowCount="1" headerRowDxfId="6">
  <autoFilter ref="A1:J51"/>
  <tableColumns count="10">
    <tableColumn id="1" name="Customer_ID"/>
    <tableColumn id="2" name="Join_Date" dataDxfId="5" totalsRowDxfId="4"/>
    <tableColumn id="3" name="Last_Active_Date" dataDxfId="3" totalsRowDxfId="2"/>
    <tableColumn id="4" name="Plan_Type"/>
    <tableColumn id="5" name="Monthly_Fee"/>
    <tableColumn id="6" name="Status"/>
    <tableColumn id="7" name="Churn_Reason"/>
    <tableColumn id="8" name="Tenure_Months">
      <calculatedColumnFormula>DATEDIF(B2,C2,"M")</calculatedColumnFormula>
    </tableColumn>
    <tableColumn id="9" name="Revenue_Lost">
      <calculatedColumnFormula>IF(F2="Churned",H2*E2,0)</calculatedColumnFormula>
    </tableColumn>
    <tableColumn id="11" name="Join_Month" dataDxfId="1" totalsRowDxfId="0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J4" sqref="J4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4" t="s">
        <v>7</v>
      </c>
      <c r="B2" s="15">
        <v>45292</v>
      </c>
      <c r="C2" s="15">
        <v>45458</v>
      </c>
      <c r="D2" s="14" t="s">
        <v>8</v>
      </c>
      <c r="E2" s="14">
        <v>499</v>
      </c>
      <c r="F2" s="14" t="s">
        <v>9</v>
      </c>
      <c r="G2" s="14" t="s">
        <v>10</v>
      </c>
    </row>
    <row r="3" spans="1:7" x14ac:dyDescent="0.25">
      <c r="A3" s="14" t="s">
        <v>11</v>
      </c>
      <c r="B3" s="15">
        <v>45294</v>
      </c>
      <c r="C3" s="15">
        <v>45689</v>
      </c>
      <c r="D3" s="14" t="s">
        <v>12</v>
      </c>
      <c r="E3" s="14">
        <v>999</v>
      </c>
      <c r="F3" s="14" t="s">
        <v>13</v>
      </c>
      <c r="G3" s="14" t="s">
        <v>14</v>
      </c>
    </row>
    <row r="4" spans="1:7" ht="30" x14ac:dyDescent="0.25">
      <c r="A4" s="14" t="s">
        <v>15</v>
      </c>
      <c r="B4" s="15">
        <v>45296</v>
      </c>
      <c r="C4" s="15">
        <v>45402</v>
      </c>
      <c r="D4" s="14" t="s">
        <v>8</v>
      </c>
      <c r="E4" s="14">
        <v>499</v>
      </c>
      <c r="F4" s="14" t="s">
        <v>9</v>
      </c>
      <c r="G4" s="14" t="s">
        <v>16</v>
      </c>
    </row>
    <row r="5" spans="1:7" x14ac:dyDescent="0.25">
      <c r="A5" s="14" t="s">
        <v>17</v>
      </c>
      <c r="B5" s="15">
        <v>45301</v>
      </c>
      <c r="C5" s="15">
        <v>45689</v>
      </c>
      <c r="D5" s="14" t="s">
        <v>18</v>
      </c>
      <c r="E5" s="14">
        <v>699</v>
      </c>
      <c r="F5" s="14" t="s">
        <v>13</v>
      </c>
      <c r="G5" s="14" t="s">
        <v>14</v>
      </c>
    </row>
    <row r="6" spans="1:7" ht="30" x14ac:dyDescent="0.25">
      <c r="A6" s="14" t="s">
        <v>19</v>
      </c>
      <c r="B6" s="15">
        <v>45303</v>
      </c>
      <c r="C6" s="15">
        <v>45483</v>
      </c>
      <c r="D6" s="14" t="s">
        <v>8</v>
      </c>
      <c r="E6" s="14">
        <v>499</v>
      </c>
      <c r="F6" s="14" t="s">
        <v>9</v>
      </c>
      <c r="G6" s="14" t="s">
        <v>20</v>
      </c>
    </row>
    <row r="7" spans="1:7" x14ac:dyDescent="0.25">
      <c r="A7" s="14" t="s">
        <v>21</v>
      </c>
      <c r="B7" s="15">
        <v>45306</v>
      </c>
      <c r="C7" s="15">
        <v>45689</v>
      </c>
      <c r="D7" s="14" t="s">
        <v>12</v>
      </c>
      <c r="E7" s="14">
        <v>999</v>
      </c>
      <c r="F7" s="14" t="s">
        <v>13</v>
      </c>
      <c r="G7" s="14" t="s">
        <v>14</v>
      </c>
    </row>
    <row r="8" spans="1:7" x14ac:dyDescent="0.25">
      <c r="A8" s="14" t="s">
        <v>22</v>
      </c>
      <c r="B8" s="15">
        <v>45309</v>
      </c>
      <c r="C8" s="15">
        <v>45434</v>
      </c>
      <c r="D8" s="14" t="s">
        <v>18</v>
      </c>
      <c r="E8" s="14">
        <v>699</v>
      </c>
      <c r="F8" s="14" t="s">
        <v>9</v>
      </c>
      <c r="G8" s="14" t="s">
        <v>10</v>
      </c>
    </row>
    <row r="9" spans="1:7" x14ac:dyDescent="0.25">
      <c r="A9" s="14" t="s">
        <v>23</v>
      </c>
      <c r="B9" s="15">
        <v>45311</v>
      </c>
      <c r="C9" s="15">
        <v>45689</v>
      </c>
      <c r="D9" s="14" t="s">
        <v>12</v>
      </c>
      <c r="E9" s="14">
        <v>999</v>
      </c>
      <c r="F9" s="14" t="s">
        <v>13</v>
      </c>
      <c r="G9" s="14" t="s">
        <v>14</v>
      </c>
    </row>
    <row r="10" spans="1:7" ht="30" x14ac:dyDescent="0.25">
      <c r="A10" s="14" t="s">
        <v>24</v>
      </c>
      <c r="B10" s="15">
        <v>45316</v>
      </c>
      <c r="C10" s="15">
        <v>45473</v>
      </c>
      <c r="D10" s="14" t="s">
        <v>8</v>
      </c>
      <c r="E10" s="14">
        <v>499</v>
      </c>
      <c r="F10" s="14" t="s">
        <v>9</v>
      </c>
      <c r="G10" s="14" t="s">
        <v>16</v>
      </c>
    </row>
    <row r="11" spans="1:7" x14ac:dyDescent="0.25">
      <c r="A11" s="14" t="s">
        <v>25</v>
      </c>
      <c r="B11" s="15">
        <v>45319</v>
      </c>
      <c r="C11" s="15">
        <v>45689</v>
      </c>
      <c r="D11" s="14" t="s">
        <v>12</v>
      </c>
      <c r="E11" s="14">
        <v>999</v>
      </c>
      <c r="F11" s="14" t="s">
        <v>13</v>
      </c>
      <c r="G11" s="14" t="s">
        <v>14</v>
      </c>
    </row>
    <row r="12" spans="1:7" x14ac:dyDescent="0.25">
      <c r="A12" s="14" t="s">
        <v>26</v>
      </c>
      <c r="B12" s="15">
        <v>45323</v>
      </c>
      <c r="C12" s="15">
        <v>45519</v>
      </c>
      <c r="D12" s="14" t="s">
        <v>8</v>
      </c>
      <c r="E12" s="14">
        <v>499</v>
      </c>
      <c r="F12" s="14" t="s">
        <v>9</v>
      </c>
      <c r="G12" s="14" t="s">
        <v>10</v>
      </c>
    </row>
    <row r="13" spans="1:7" x14ac:dyDescent="0.25">
      <c r="A13" s="14" t="s">
        <v>27</v>
      </c>
      <c r="B13" s="15">
        <v>45327</v>
      </c>
      <c r="C13" s="15">
        <v>45689</v>
      </c>
      <c r="D13" s="14" t="s">
        <v>12</v>
      </c>
      <c r="E13" s="14">
        <v>999</v>
      </c>
      <c r="F13" s="14" t="s">
        <v>13</v>
      </c>
      <c r="G13" s="14" t="s">
        <v>14</v>
      </c>
    </row>
    <row r="14" spans="1:7" ht="30" x14ac:dyDescent="0.25">
      <c r="A14" s="14" t="s">
        <v>28</v>
      </c>
      <c r="B14" s="15">
        <v>45329</v>
      </c>
      <c r="C14" s="15">
        <v>45491</v>
      </c>
      <c r="D14" s="14" t="s">
        <v>18</v>
      </c>
      <c r="E14" s="14">
        <v>699</v>
      </c>
      <c r="F14" s="14" t="s">
        <v>9</v>
      </c>
      <c r="G14" s="14" t="s">
        <v>16</v>
      </c>
    </row>
    <row r="15" spans="1:7" x14ac:dyDescent="0.25">
      <c r="A15" s="14" t="s">
        <v>29</v>
      </c>
      <c r="B15" s="15">
        <v>45332</v>
      </c>
      <c r="C15" s="15">
        <v>45689</v>
      </c>
      <c r="D15" s="14" t="s">
        <v>12</v>
      </c>
      <c r="E15" s="14">
        <v>999</v>
      </c>
      <c r="F15" s="14" t="s">
        <v>13</v>
      </c>
      <c r="G15" s="14" t="s">
        <v>14</v>
      </c>
    </row>
    <row r="16" spans="1:7" ht="30" x14ac:dyDescent="0.25">
      <c r="A16" s="14" t="s">
        <v>30</v>
      </c>
      <c r="B16" s="15">
        <v>45337</v>
      </c>
      <c r="C16" s="15">
        <v>45545</v>
      </c>
      <c r="D16" s="14" t="s">
        <v>8</v>
      </c>
      <c r="E16" s="14">
        <v>499</v>
      </c>
      <c r="F16" s="14" t="s">
        <v>9</v>
      </c>
      <c r="G16" s="14" t="s">
        <v>20</v>
      </c>
    </row>
    <row r="17" spans="1:7" x14ac:dyDescent="0.25">
      <c r="A17" s="14" t="s">
        <v>31</v>
      </c>
      <c r="B17" s="15">
        <v>45340</v>
      </c>
      <c r="C17" s="15">
        <v>45689</v>
      </c>
      <c r="D17" s="14" t="s">
        <v>18</v>
      </c>
      <c r="E17" s="14">
        <v>699</v>
      </c>
      <c r="F17" s="14" t="s">
        <v>13</v>
      </c>
      <c r="G17" s="14" t="s">
        <v>14</v>
      </c>
    </row>
    <row r="18" spans="1:7" x14ac:dyDescent="0.25">
      <c r="A18" s="14" t="s">
        <v>32</v>
      </c>
      <c r="B18" s="15">
        <v>45342</v>
      </c>
      <c r="C18" s="15">
        <v>45448</v>
      </c>
      <c r="D18" s="14" t="s">
        <v>8</v>
      </c>
      <c r="E18" s="14">
        <v>499</v>
      </c>
      <c r="F18" s="14" t="s">
        <v>9</v>
      </c>
      <c r="G18" s="14" t="s">
        <v>10</v>
      </c>
    </row>
    <row r="19" spans="1:7" x14ac:dyDescent="0.25">
      <c r="A19" s="14" t="s">
        <v>33</v>
      </c>
      <c r="B19" s="15">
        <v>45347</v>
      </c>
      <c r="C19" s="15">
        <v>45689</v>
      </c>
      <c r="D19" s="14" t="s">
        <v>12</v>
      </c>
      <c r="E19" s="14">
        <v>999</v>
      </c>
      <c r="F19" s="14" t="s">
        <v>13</v>
      </c>
      <c r="G19" s="14" t="s">
        <v>14</v>
      </c>
    </row>
    <row r="20" spans="1:7" ht="30" x14ac:dyDescent="0.25">
      <c r="A20" s="14" t="s">
        <v>34</v>
      </c>
      <c r="B20" s="15">
        <v>45350</v>
      </c>
      <c r="C20" s="15">
        <v>45493</v>
      </c>
      <c r="D20" s="14" t="s">
        <v>18</v>
      </c>
      <c r="E20" s="14">
        <v>699</v>
      </c>
      <c r="F20" s="14" t="s">
        <v>9</v>
      </c>
      <c r="G20" s="14" t="s">
        <v>16</v>
      </c>
    </row>
    <row r="21" spans="1:7" x14ac:dyDescent="0.25">
      <c r="A21" s="14" t="s">
        <v>35</v>
      </c>
      <c r="B21" s="15">
        <v>45352</v>
      </c>
      <c r="C21" s="15">
        <v>45689</v>
      </c>
      <c r="D21" s="14" t="s">
        <v>12</v>
      </c>
      <c r="E21" s="14">
        <v>999</v>
      </c>
      <c r="F21" s="14" t="s">
        <v>13</v>
      </c>
      <c r="G21" s="14" t="s">
        <v>14</v>
      </c>
    </row>
    <row r="22" spans="1:7" x14ac:dyDescent="0.25">
      <c r="A22" s="14" t="s">
        <v>36</v>
      </c>
      <c r="B22" s="15">
        <v>45356</v>
      </c>
      <c r="C22" s="15">
        <v>45522</v>
      </c>
      <c r="D22" s="14" t="s">
        <v>8</v>
      </c>
      <c r="E22" s="14">
        <v>499</v>
      </c>
      <c r="F22" s="14" t="s">
        <v>9</v>
      </c>
      <c r="G22" s="14" t="s">
        <v>10</v>
      </c>
    </row>
    <row r="23" spans="1:7" x14ac:dyDescent="0.25">
      <c r="A23" s="14" t="s">
        <v>37</v>
      </c>
      <c r="B23" s="15">
        <v>45358</v>
      </c>
      <c r="C23" s="15">
        <v>45689</v>
      </c>
      <c r="D23" s="14" t="s">
        <v>12</v>
      </c>
      <c r="E23" s="14">
        <v>999</v>
      </c>
      <c r="F23" s="14" t="s">
        <v>13</v>
      </c>
      <c r="G23" s="14" t="s">
        <v>14</v>
      </c>
    </row>
    <row r="24" spans="1:7" ht="30" x14ac:dyDescent="0.25">
      <c r="A24" s="14" t="s">
        <v>38</v>
      </c>
      <c r="B24" s="15">
        <v>45361</v>
      </c>
      <c r="C24" s="15">
        <v>45557</v>
      </c>
      <c r="D24" s="14" t="s">
        <v>18</v>
      </c>
      <c r="E24" s="14">
        <v>699</v>
      </c>
      <c r="F24" s="14" t="s">
        <v>9</v>
      </c>
      <c r="G24" s="14" t="s">
        <v>16</v>
      </c>
    </row>
    <row r="25" spans="1:7" x14ac:dyDescent="0.25">
      <c r="A25" s="14" t="s">
        <v>39</v>
      </c>
      <c r="B25" s="15">
        <v>45363</v>
      </c>
      <c r="C25" s="15">
        <v>45689</v>
      </c>
      <c r="D25" s="14" t="s">
        <v>12</v>
      </c>
      <c r="E25" s="14">
        <v>999</v>
      </c>
      <c r="F25" s="14" t="s">
        <v>13</v>
      </c>
      <c r="G25" s="14" t="s">
        <v>14</v>
      </c>
    </row>
    <row r="26" spans="1:7" ht="30" x14ac:dyDescent="0.25">
      <c r="A26" s="14" t="s">
        <v>40</v>
      </c>
      <c r="B26" s="15">
        <v>45366</v>
      </c>
      <c r="C26" s="15">
        <v>45503</v>
      </c>
      <c r="D26" s="14" t="s">
        <v>8</v>
      </c>
      <c r="E26" s="14">
        <v>499</v>
      </c>
      <c r="F26" s="14" t="s">
        <v>9</v>
      </c>
      <c r="G26" s="14" t="s">
        <v>20</v>
      </c>
    </row>
    <row r="27" spans="1:7" x14ac:dyDescent="0.25">
      <c r="A27" s="14" t="s">
        <v>41</v>
      </c>
      <c r="B27" s="15">
        <v>45369</v>
      </c>
      <c r="C27" s="15">
        <v>45689</v>
      </c>
      <c r="D27" s="14" t="s">
        <v>18</v>
      </c>
      <c r="E27" s="14">
        <v>699</v>
      </c>
      <c r="F27" s="14" t="s">
        <v>13</v>
      </c>
      <c r="G27" s="14" t="s">
        <v>14</v>
      </c>
    </row>
    <row r="28" spans="1:7" x14ac:dyDescent="0.25">
      <c r="A28" s="14" t="s">
        <v>42</v>
      </c>
      <c r="B28" s="15">
        <v>45371</v>
      </c>
      <c r="C28" s="15">
        <v>45519</v>
      </c>
      <c r="D28" s="14" t="s">
        <v>8</v>
      </c>
      <c r="E28" s="14">
        <v>499</v>
      </c>
      <c r="F28" s="14" t="s">
        <v>9</v>
      </c>
      <c r="G28" s="14" t="s">
        <v>10</v>
      </c>
    </row>
    <row r="29" spans="1:7" x14ac:dyDescent="0.25">
      <c r="A29" s="14" t="s">
        <v>43</v>
      </c>
      <c r="B29" s="15">
        <v>45376</v>
      </c>
      <c r="C29" s="15">
        <v>45689</v>
      </c>
      <c r="D29" s="14" t="s">
        <v>12</v>
      </c>
      <c r="E29" s="14">
        <v>999</v>
      </c>
      <c r="F29" s="14" t="s">
        <v>13</v>
      </c>
      <c r="G29" s="14" t="s">
        <v>14</v>
      </c>
    </row>
    <row r="30" spans="1:7" ht="30" x14ac:dyDescent="0.25">
      <c r="A30" s="14" t="s">
        <v>44</v>
      </c>
      <c r="B30" s="15">
        <v>45379</v>
      </c>
      <c r="C30" s="15">
        <v>45577</v>
      </c>
      <c r="D30" s="14" t="s">
        <v>18</v>
      </c>
      <c r="E30" s="14">
        <v>699</v>
      </c>
      <c r="F30" s="14" t="s">
        <v>9</v>
      </c>
      <c r="G30" s="14" t="s">
        <v>16</v>
      </c>
    </row>
    <row r="31" spans="1:7" x14ac:dyDescent="0.25">
      <c r="A31" s="14" t="s">
        <v>45</v>
      </c>
      <c r="B31" s="15">
        <v>45383</v>
      </c>
      <c r="C31" s="15">
        <v>45689</v>
      </c>
      <c r="D31" s="14" t="s">
        <v>12</v>
      </c>
      <c r="E31" s="14">
        <v>999</v>
      </c>
      <c r="F31" s="14" t="s">
        <v>13</v>
      </c>
      <c r="G31" s="14" t="s">
        <v>14</v>
      </c>
    </row>
    <row r="32" spans="1:7" x14ac:dyDescent="0.25">
      <c r="A32" s="14" t="s">
        <v>46</v>
      </c>
      <c r="B32" s="15">
        <v>45387</v>
      </c>
      <c r="C32" s="15">
        <v>45555</v>
      </c>
      <c r="D32" s="14" t="s">
        <v>8</v>
      </c>
      <c r="E32" s="14">
        <v>499</v>
      </c>
      <c r="F32" s="14" t="s">
        <v>9</v>
      </c>
      <c r="G32" s="14" t="s">
        <v>10</v>
      </c>
    </row>
    <row r="33" spans="1:7" x14ac:dyDescent="0.25">
      <c r="A33" s="14" t="s">
        <v>47</v>
      </c>
      <c r="B33" s="15">
        <v>45389</v>
      </c>
      <c r="C33" s="15">
        <v>45689</v>
      </c>
      <c r="D33" s="14" t="s">
        <v>12</v>
      </c>
      <c r="E33" s="14">
        <v>999</v>
      </c>
      <c r="F33" s="14" t="s">
        <v>13</v>
      </c>
      <c r="G33" s="14" t="s">
        <v>14</v>
      </c>
    </row>
    <row r="34" spans="1:7" ht="30" x14ac:dyDescent="0.25">
      <c r="A34" s="14" t="s">
        <v>48</v>
      </c>
      <c r="B34" s="15">
        <v>45392</v>
      </c>
      <c r="C34" s="15">
        <v>45519</v>
      </c>
      <c r="D34" s="14" t="s">
        <v>18</v>
      </c>
      <c r="E34" s="14">
        <v>699</v>
      </c>
      <c r="F34" s="14" t="s">
        <v>9</v>
      </c>
      <c r="G34" s="14" t="s">
        <v>20</v>
      </c>
    </row>
    <row r="35" spans="1:7" x14ac:dyDescent="0.25">
      <c r="A35" s="14" t="s">
        <v>49</v>
      </c>
      <c r="B35" s="15">
        <v>45394</v>
      </c>
      <c r="C35" s="15">
        <v>45689</v>
      </c>
      <c r="D35" s="14" t="s">
        <v>12</v>
      </c>
      <c r="E35" s="14">
        <v>999</v>
      </c>
      <c r="F35" s="14" t="s">
        <v>13</v>
      </c>
      <c r="G35" s="14" t="s">
        <v>14</v>
      </c>
    </row>
    <row r="36" spans="1:7" ht="30" x14ac:dyDescent="0.25">
      <c r="A36" s="14" t="s">
        <v>50</v>
      </c>
      <c r="B36" s="15">
        <v>45397</v>
      </c>
      <c r="C36" s="15">
        <v>45583</v>
      </c>
      <c r="D36" s="14" t="s">
        <v>8</v>
      </c>
      <c r="E36" s="14">
        <v>499</v>
      </c>
      <c r="F36" s="14" t="s">
        <v>9</v>
      </c>
      <c r="G36" s="14" t="s">
        <v>16</v>
      </c>
    </row>
    <row r="37" spans="1:7" x14ac:dyDescent="0.25">
      <c r="A37" s="14" t="s">
        <v>51</v>
      </c>
      <c r="B37" s="15">
        <v>45400</v>
      </c>
      <c r="C37" s="15">
        <v>45689</v>
      </c>
      <c r="D37" s="14" t="s">
        <v>18</v>
      </c>
      <c r="E37" s="14">
        <v>699</v>
      </c>
      <c r="F37" s="14" t="s">
        <v>13</v>
      </c>
      <c r="G37" s="14" t="s">
        <v>14</v>
      </c>
    </row>
    <row r="38" spans="1:7" x14ac:dyDescent="0.25">
      <c r="A38" s="14" t="s">
        <v>52</v>
      </c>
      <c r="B38" s="15">
        <v>45402</v>
      </c>
      <c r="C38" s="15">
        <v>45557</v>
      </c>
      <c r="D38" s="14" t="s">
        <v>8</v>
      </c>
      <c r="E38" s="14">
        <v>499</v>
      </c>
      <c r="F38" s="14" t="s">
        <v>9</v>
      </c>
      <c r="G38" s="14" t="s">
        <v>10</v>
      </c>
    </row>
    <row r="39" spans="1:7" x14ac:dyDescent="0.25">
      <c r="A39" s="14" t="s">
        <v>53</v>
      </c>
      <c r="B39" s="15">
        <v>45407</v>
      </c>
      <c r="C39" s="15">
        <v>45689</v>
      </c>
      <c r="D39" s="14" t="s">
        <v>12</v>
      </c>
      <c r="E39" s="14">
        <v>999</v>
      </c>
      <c r="F39" s="14" t="s">
        <v>13</v>
      </c>
      <c r="G39" s="14" t="s">
        <v>14</v>
      </c>
    </row>
    <row r="40" spans="1:7" ht="30" x14ac:dyDescent="0.25">
      <c r="A40" s="14" t="s">
        <v>54</v>
      </c>
      <c r="B40" s="15">
        <v>45410</v>
      </c>
      <c r="C40" s="15">
        <v>45606</v>
      </c>
      <c r="D40" s="14" t="s">
        <v>18</v>
      </c>
      <c r="E40" s="14">
        <v>699</v>
      </c>
      <c r="F40" s="14" t="s">
        <v>9</v>
      </c>
      <c r="G40" s="14" t="s">
        <v>16</v>
      </c>
    </row>
    <row r="41" spans="1:7" x14ac:dyDescent="0.25">
      <c r="A41" s="14" t="s">
        <v>55</v>
      </c>
      <c r="B41" s="15">
        <v>45413</v>
      </c>
      <c r="C41" s="15">
        <v>45689</v>
      </c>
      <c r="D41" s="14" t="s">
        <v>12</v>
      </c>
      <c r="E41" s="14">
        <v>999</v>
      </c>
      <c r="F41" s="14" t="s">
        <v>13</v>
      </c>
      <c r="G41" s="14" t="s">
        <v>14</v>
      </c>
    </row>
    <row r="42" spans="1:7" x14ac:dyDescent="0.25">
      <c r="A42" s="14" t="s">
        <v>56</v>
      </c>
      <c r="B42" s="15">
        <v>45417</v>
      </c>
      <c r="C42" s="15">
        <v>45550</v>
      </c>
      <c r="D42" s="14" t="s">
        <v>8</v>
      </c>
      <c r="E42" s="14">
        <v>499</v>
      </c>
      <c r="F42" s="14" t="s">
        <v>9</v>
      </c>
      <c r="G42" s="14" t="s">
        <v>10</v>
      </c>
    </row>
    <row r="43" spans="1:7" x14ac:dyDescent="0.25">
      <c r="A43" s="14" t="s">
        <v>57</v>
      </c>
      <c r="B43" s="15">
        <v>45419</v>
      </c>
      <c r="C43" s="15">
        <v>45689</v>
      </c>
      <c r="D43" s="14" t="s">
        <v>12</v>
      </c>
      <c r="E43" s="14">
        <v>999</v>
      </c>
      <c r="F43" s="14" t="s">
        <v>13</v>
      </c>
      <c r="G43" s="14" t="s">
        <v>14</v>
      </c>
    </row>
    <row r="44" spans="1:7" ht="30" x14ac:dyDescent="0.25">
      <c r="A44" s="14" t="s">
        <v>58</v>
      </c>
      <c r="B44" s="15">
        <v>45422</v>
      </c>
      <c r="C44" s="15">
        <v>45585</v>
      </c>
      <c r="D44" s="14" t="s">
        <v>18</v>
      </c>
      <c r="E44" s="14">
        <v>699</v>
      </c>
      <c r="F44" s="14" t="s">
        <v>9</v>
      </c>
      <c r="G44" s="14" t="s">
        <v>20</v>
      </c>
    </row>
    <row r="45" spans="1:7" x14ac:dyDescent="0.25">
      <c r="A45" s="14" t="s">
        <v>59</v>
      </c>
      <c r="B45" s="15">
        <v>45424</v>
      </c>
      <c r="C45" s="15">
        <v>45689</v>
      </c>
      <c r="D45" s="14" t="s">
        <v>12</v>
      </c>
      <c r="E45" s="14">
        <v>999</v>
      </c>
      <c r="F45" s="14" t="s">
        <v>13</v>
      </c>
      <c r="G45" s="14" t="s">
        <v>14</v>
      </c>
    </row>
    <row r="46" spans="1:7" ht="30" x14ac:dyDescent="0.25">
      <c r="A46" s="14" t="s">
        <v>60</v>
      </c>
      <c r="B46" s="15">
        <v>45427</v>
      </c>
      <c r="C46" s="15">
        <v>45618</v>
      </c>
      <c r="D46" s="14" t="s">
        <v>8</v>
      </c>
      <c r="E46" s="14">
        <v>499</v>
      </c>
      <c r="F46" s="14" t="s">
        <v>9</v>
      </c>
      <c r="G46" s="14" t="s">
        <v>16</v>
      </c>
    </row>
    <row r="47" spans="1:7" x14ac:dyDescent="0.25">
      <c r="A47" s="14" t="s">
        <v>61</v>
      </c>
      <c r="B47" s="15">
        <v>45430</v>
      </c>
      <c r="C47" s="15">
        <v>45689</v>
      </c>
      <c r="D47" s="14" t="s">
        <v>18</v>
      </c>
      <c r="E47" s="14">
        <v>699</v>
      </c>
      <c r="F47" s="14" t="s">
        <v>13</v>
      </c>
      <c r="G47" s="14" t="s">
        <v>14</v>
      </c>
    </row>
    <row r="48" spans="1:7" x14ac:dyDescent="0.25">
      <c r="A48" s="14" t="s">
        <v>62</v>
      </c>
      <c r="B48" s="15">
        <v>45432</v>
      </c>
      <c r="C48" s="15">
        <v>45583</v>
      </c>
      <c r="D48" s="14" t="s">
        <v>8</v>
      </c>
      <c r="E48" s="14">
        <v>499</v>
      </c>
      <c r="F48" s="14" t="s">
        <v>9</v>
      </c>
      <c r="G48" s="14" t="s">
        <v>10</v>
      </c>
    </row>
    <row r="49" spans="1:7" x14ac:dyDescent="0.25">
      <c r="A49" s="14" t="s">
        <v>63</v>
      </c>
      <c r="B49" s="15">
        <v>45437</v>
      </c>
      <c r="C49" s="15">
        <v>45689</v>
      </c>
      <c r="D49" s="14" t="s">
        <v>12</v>
      </c>
      <c r="E49" s="14">
        <v>999</v>
      </c>
      <c r="F49" s="14" t="s">
        <v>13</v>
      </c>
      <c r="G49" s="14" t="s">
        <v>14</v>
      </c>
    </row>
    <row r="50" spans="1:7" ht="30" x14ac:dyDescent="0.25">
      <c r="A50" s="14" t="s">
        <v>64</v>
      </c>
      <c r="B50" s="15">
        <v>45440</v>
      </c>
      <c r="C50" s="15">
        <v>45641</v>
      </c>
      <c r="D50" s="14" t="s">
        <v>18</v>
      </c>
      <c r="E50" s="14">
        <v>699</v>
      </c>
      <c r="F50" s="14" t="s">
        <v>9</v>
      </c>
      <c r="G50" s="14" t="s">
        <v>16</v>
      </c>
    </row>
    <row r="51" spans="1:7" x14ac:dyDescent="0.25">
      <c r="A51" s="14" t="s">
        <v>65</v>
      </c>
      <c r="B51" s="15">
        <v>45444</v>
      </c>
      <c r="C51" s="15">
        <v>45689</v>
      </c>
      <c r="D51" s="14" t="s">
        <v>12</v>
      </c>
      <c r="E51" s="14">
        <v>999</v>
      </c>
      <c r="F51" s="14" t="s">
        <v>13</v>
      </c>
      <c r="G51" s="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M6" sqref="M6"/>
    </sheetView>
  </sheetViews>
  <sheetFormatPr defaultRowHeight="15" x14ac:dyDescent="0.25"/>
  <cols>
    <col min="1" max="1" width="15.42578125" customWidth="1"/>
    <col min="2" max="2" width="11.85546875" style="2" customWidth="1"/>
    <col min="3" max="3" width="18.28515625" style="2" customWidth="1"/>
    <col min="4" max="4" width="12.28515625" customWidth="1"/>
    <col min="5" max="5" width="15" customWidth="1"/>
    <col min="7" max="7" width="15.85546875" customWidth="1"/>
  </cols>
  <sheetData>
    <row r="1" spans="1:14" ht="30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66</v>
      </c>
      <c r="I1" s="3" t="s">
        <v>67</v>
      </c>
      <c r="J1" s="3" t="s">
        <v>68</v>
      </c>
    </row>
    <row r="2" spans="1:14" x14ac:dyDescent="0.25">
      <c r="A2" t="s">
        <v>7</v>
      </c>
      <c r="B2" s="2">
        <v>45292</v>
      </c>
      <c r="C2" s="2">
        <v>45458</v>
      </c>
      <c r="D2" t="s">
        <v>8</v>
      </c>
      <c r="E2">
        <v>499</v>
      </c>
      <c r="F2" t="s">
        <v>9</v>
      </c>
      <c r="G2" t="s">
        <v>10</v>
      </c>
      <c r="H2">
        <f t="shared" ref="H2:H33" si="0">DATEDIF(B2,C2,"M")</f>
        <v>5</v>
      </c>
      <c r="I2">
        <f t="shared" ref="I2:I33" si="1">IF(F2="Churned",H2*E2,0)</f>
        <v>2495</v>
      </c>
      <c r="J2" t="str">
        <f t="shared" ref="J2:J33" si="2">TEXT(B2,"MMM-YYYY")</f>
        <v>Jan-2024</v>
      </c>
      <c r="L2" s="4"/>
      <c r="M2" s="10">
        <f>COUNTIF(F2:F51,"Churned")/COUNTA(A2:A51)</f>
        <v>0.5</v>
      </c>
    </row>
    <row r="3" spans="1:14" x14ac:dyDescent="0.25">
      <c r="A3" t="s">
        <v>11</v>
      </c>
      <c r="B3" s="2">
        <v>45294</v>
      </c>
      <c r="C3" s="2">
        <v>45689</v>
      </c>
      <c r="D3" t="s">
        <v>12</v>
      </c>
      <c r="E3">
        <v>999</v>
      </c>
      <c r="F3" t="s">
        <v>13</v>
      </c>
      <c r="G3" t="s">
        <v>14</v>
      </c>
      <c r="H3">
        <f t="shared" si="0"/>
        <v>12</v>
      </c>
      <c r="I3">
        <f t="shared" si="1"/>
        <v>0</v>
      </c>
      <c r="J3" t="str">
        <f t="shared" si="2"/>
        <v>Jan-2024</v>
      </c>
    </row>
    <row r="4" spans="1:14" x14ac:dyDescent="0.25">
      <c r="A4" t="s">
        <v>15</v>
      </c>
      <c r="B4" s="2">
        <v>45296</v>
      </c>
      <c r="C4" s="2">
        <v>45402</v>
      </c>
      <c r="D4" t="s">
        <v>8</v>
      </c>
      <c r="E4">
        <v>499</v>
      </c>
      <c r="F4" t="s">
        <v>9</v>
      </c>
      <c r="G4" t="s">
        <v>16</v>
      </c>
      <c r="H4">
        <f t="shared" si="0"/>
        <v>3</v>
      </c>
      <c r="I4">
        <f t="shared" si="1"/>
        <v>1497</v>
      </c>
      <c r="J4" t="str">
        <f t="shared" si="2"/>
        <v>Jan-2024</v>
      </c>
      <c r="M4" t="str">
        <f>"Churn Rate"&amp;CHAR(10)&amp;TEXT(M2,"0%")</f>
        <v>Churn Rate
50%</v>
      </c>
    </row>
    <row r="5" spans="1:14" x14ac:dyDescent="0.25">
      <c r="A5" t="s">
        <v>17</v>
      </c>
      <c r="B5" s="2">
        <v>45301</v>
      </c>
      <c r="C5" s="2">
        <v>45689</v>
      </c>
      <c r="D5" t="s">
        <v>18</v>
      </c>
      <c r="E5">
        <v>699</v>
      </c>
      <c r="F5" t="s">
        <v>13</v>
      </c>
      <c r="G5" t="s">
        <v>14</v>
      </c>
      <c r="H5">
        <f t="shared" si="0"/>
        <v>12</v>
      </c>
      <c r="I5">
        <f t="shared" si="1"/>
        <v>0</v>
      </c>
      <c r="J5" t="str">
        <f t="shared" si="2"/>
        <v>Jan-2024</v>
      </c>
      <c r="N5" s="10"/>
    </row>
    <row r="6" spans="1:14" x14ac:dyDescent="0.25">
      <c r="A6" t="s">
        <v>19</v>
      </c>
      <c r="B6" s="2">
        <v>45303</v>
      </c>
      <c r="C6" s="2">
        <v>45483</v>
      </c>
      <c r="D6" t="s">
        <v>8</v>
      </c>
      <c r="E6">
        <v>499</v>
      </c>
      <c r="F6" t="s">
        <v>9</v>
      </c>
      <c r="G6" t="s">
        <v>20</v>
      </c>
      <c r="H6">
        <f t="shared" si="0"/>
        <v>5</v>
      </c>
      <c r="I6">
        <f t="shared" si="1"/>
        <v>2495</v>
      </c>
      <c r="J6" t="str">
        <f t="shared" si="2"/>
        <v>Jan-2024</v>
      </c>
      <c r="M6" t="e">
        <f>"Churn Rate "&amp;TEXT(COUNTIF([1]Raw_Data!F2:F51,"Churned")/COUNTA([1]Raw_Data!A2:A51),"0%")</f>
        <v>#VALUE!</v>
      </c>
    </row>
    <row r="7" spans="1:14" x14ac:dyDescent="0.25">
      <c r="A7" t="s">
        <v>21</v>
      </c>
      <c r="B7" s="2">
        <v>45306</v>
      </c>
      <c r="C7" s="2">
        <v>45689</v>
      </c>
      <c r="D7" t="s">
        <v>12</v>
      </c>
      <c r="E7">
        <v>999</v>
      </c>
      <c r="F7" t="s">
        <v>13</v>
      </c>
      <c r="G7" t="s">
        <v>14</v>
      </c>
      <c r="H7">
        <f t="shared" si="0"/>
        <v>12</v>
      </c>
      <c r="I7">
        <f t="shared" si="1"/>
        <v>0</v>
      </c>
      <c r="J7" t="str">
        <f t="shared" si="2"/>
        <v>Jan-2024</v>
      </c>
    </row>
    <row r="8" spans="1:14" x14ac:dyDescent="0.25">
      <c r="A8" t="s">
        <v>22</v>
      </c>
      <c r="B8" s="2">
        <v>45309</v>
      </c>
      <c r="C8" s="2">
        <v>45434</v>
      </c>
      <c r="D8" t="s">
        <v>18</v>
      </c>
      <c r="E8">
        <v>699</v>
      </c>
      <c r="F8" t="s">
        <v>9</v>
      </c>
      <c r="G8" t="s">
        <v>10</v>
      </c>
      <c r="H8">
        <f t="shared" si="0"/>
        <v>4</v>
      </c>
      <c r="I8">
        <f t="shared" si="1"/>
        <v>2796</v>
      </c>
      <c r="J8" t="str">
        <f t="shared" si="2"/>
        <v>Jan-2024</v>
      </c>
    </row>
    <row r="9" spans="1:14" x14ac:dyDescent="0.25">
      <c r="A9" t="s">
        <v>23</v>
      </c>
      <c r="B9" s="2">
        <v>45311</v>
      </c>
      <c r="C9" s="2">
        <v>45689</v>
      </c>
      <c r="D9" t="s">
        <v>12</v>
      </c>
      <c r="E9">
        <v>999</v>
      </c>
      <c r="F9" t="s">
        <v>13</v>
      </c>
      <c r="G9" t="s">
        <v>14</v>
      </c>
      <c r="H9">
        <f t="shared" si="0"/>
        <v>12</v>
      </c>
      <c r="I9">
        <f t="shared" si="1"/>
        <v>0</v>
      </c>
      <c r="J9" t="str">
        <f t="shared" si="2"/>
        <v>Jan-2024</v>
      </c>
    </row>
    <row r="10" spans="1:14" x14ac:dyDescent="0.25">
      <c r="A10" t="s">
        <v>24</v>
      </c>
      <c r="B10" s="2">
        <v>45316</v>
      </c>
      <c r="C10" s="2">
        <v>45473</v>
      </c>
      <c r="D10" t="s">
        <v>8</v>
      </c>
      <c r="E10">
        <v>499</v>
      </c>
      <c r="F10" t="s">
        <v>9</v>
      </c>
      <c r="G10" t="s">
        <v>16</v>
      </c>
      <c r="H10">
        <f t="shared" si="0"/>
        <v>5</v>
      </c>
      <c r="I10">
        <f t="shared" si="1"/>
        <v>2495</v>
      </c>
      <c r="J10" t="str">
        <f t="shared" si="2"/>
        <v>Jan-2024</v>
      </c>
      <c r="L10" s="6"/>
      <c r="M10" s="6"/>
    </row>
    <row r="11" spans="1:14" x14ac:dyDescent="0.25">
      <c r="A11" t="s">
        <v>25</v>
      </c>
      <c r="B11" s="2">
        <v>45319</v>
      </c>
      <c r="C11" s="2">
        <v>45689</v>
      </c>
      <c r="D11" t="s">
        <v>12</v>
      </c>
      <c r="E11">
        <v>999</v>
      </c>
      <c r="F11" t="s">
        <v>13</v>
      </c>
      <c r="G11" t="s">
        <v>14</v>
      </c>
      <c r="H11">
        <f t="shared" si="0"/>
        <v>12</v>
      </c>
      <c r="I11">
        <f t="shared" si="1"/>
        <v>0</v>
      </c>
      <c r="J11" t="str">
        <f t="shared" si="2"/>
        <v>Jan-2024</v>
      </c>
    </row>
    <row r="12" spans="1:14" x14ac:dyDescent="0.25">
      <c r="A12" t="s">
        <v>26</v>
      </c>
      <c r="B12" s="2">
        <v>45323</v>
      </c>
      <c r="C12" s="2">
        <v>45519</v>
      </c>
      <c r="D12" t="s">
        <v>8</v>
      </c>
      <c r="E12">
        <v>499</v>
      </c>
      <c r="F12" t="s">
        <v>9</v>
      </c>
      <c r="G12" t="s">
        <v>10</v>
      </c>
      <c r="H12">
        <f t="shared" si="0"/>
        <v>6</v>
      </c>
      <c r="I12">
        <f t="shared" si="1"/>
        <v>2994</v>
      </c>
      <c r="J12" t="str">
        <f t="shared" si="2"/>
        <v>Feb-2024</v>
      </c>
    </row>
    <row r="13" spans="1:14" x14ac:dyDescent="0.25">
      <c r="A13" t="s">
        <v>27</v>
      </c>
      <c r="B13" s="2">
        <v>45327</v>
      </c>
      <c r="C13" s="2">
        <v>45689</v>
      </c>
      <c r="D13" t="s">
        <v>12</v>
      </c>
      <c r="E13">
        <v>999</v>
      </c>
      <c r="F13" t="s">
        <v>13</v>
      </c>
      <c r="G13" t="s">
        <v>14</v>
      </c>
      <c r="H13">
        <f t="shared" si="0"/>
        <v>11</v>
      </c>
      <c r="I13">
        <f t="shared" si="1"/>
        <v>0</v>
      </c>
      <c r="J13" t="str">
        <f t="shared" si="2"/>
        <v>Feb-2024</v>
      </c>
      <c r="M13" s="7"/>
    </row>
    <row r="14" spans="1:14" x14ac:dyDescent="0.25">
      <c r="A14" t="s">
        <v>28</v>
      </c>
      <c r="B14" s="2">
        <v>45329</v>
      </c>
      <c r="C14" s="2">
        <v>45491</v>
      </c>
      <c r="D14" t="s">
        <v>18</v>
      </c>
      <c r="E14">
        <v>699</v>
      </c>
      <c r="F14" t="s">
        <v>9</v>
      </c>
      <c r="G14" t="s">
        <v>16</v>
      </c>
      <c r="H14">
        <f t="shared" si="0"/>
        <v>5</v>
      </c>
      <c r="I14">
        <f t="shared" si="1"/>
        <v>3495</v>
      </c>
      <c r="J14" t="str">
        <f t="shared" si="2"/>
        <v>Feb-2024</v>
      </c>
    </row>
    <row r="15" spans="1:14" x14ac:dyDescent="0.25">
      <c r="A15" t="s">
        <v>29</v>
      </c>
      <c r="B15" s="2">
        <v>45332</v>
      </c>
      <c r="C15" s="2">
        <v>45689</v>
      </c>
      <c r="D15" t="s">
        <v>12</v>
      </c>
      <c r="E15">
        <v>999</v>
      </c>
      <c r="F15" t="s">
        <v>13</v>
      </c>
      <c r="G15" t="s">
        <v>14</v>
      </c>
      <c r="H15">
        <f t="shared" si="0"/>
        <v>11</v>
      </c>
      <c r="I15">
        <f t="shared" si="1"/>
        <v>0</v>
      </c>
      <c r="J15" t="str">
        <f t="shared" si="2"/>
        <v>Feb-2024</v>
      </c>
      <c r="L15" s="7"/>
    </row>
    <row r="16" spans="1:14" x14ac:dyDescent="0.25">
      <c r="A16" t="s">
        <v>30</v>
      </c>
      <c r="B16" s="2">
        <v>45337</v>
      </c>
      <c r="C16" s="2">
        <v>45545</v>
      </c>
      <c r="D16" t="s">
        <v>8</v>
      </c>
      <c r="E16">
        <v>499</v>
      </c>
      <c r="F16" t="s">
        <v>9</v>
      </c>
      <c r="G16" t="s">
        <v>20</v>
      </c>
      <c r="H16">
        <f t="shared" si="0"/>
        <v>6</v>
      </c>
      <c r="I16">
        <f t="shared" si="1"/>
        <v>2994</v>
      </c>
      <c r="J16" t="str">
        <f t="shared" si="2"/>
        <v>Feb-2024</v>
      </c>
    </row>
    <row r="17" spans="1:10" x14ac:dyDescent="0.25">
      <c r="A17" t="s">
        <v>31</v>
      </c>
      <c r="B17" s="2">
        <v>45340</v>
      </c>
      <c r="C17" s="2">
        <v>45689</v>
      </c>
      <c r="D17" t="s">
        <v>18</v>
      </c>
      <c r="E17">
        <v>699</v>
      </c>
      <c r="F17" t="s">
        <v>13</v>
      </c>
      <c r="G17" t="s">
        <v>14</v>
      </c>
      <c r="H17">
        <f t="shared" si="0"/>
        <v>11</v>
      </c>
      <c r="I17">
        <f t="shared" si="1"/>
        <v>0</v>
      </c>
      <c r="J17" t="str">
        <f t="shared" si="2"/>
        <v>Feb-2024</v>
      </c>
    </row>
    <row r="18" spans="1:10" x14ac:dyDescent="0.25">
      <c r="A18" t="s">
        <v>32</v>
      </c>
      <c r="B18" s="2">
        <v>45342</v>
      </c>
      <c r="C18" s="2">
        <v>45448</v>
      </c>
      <c r="D18" t="s">
        <v>8</v>
      </c>
      <c r="E18">
        <v>499</v>
      </c>
      <c r="F18" t="s">
        <v>9</v>
      </c>
      <c r="G18" t="s">
        <v>10</v>
      </c>
      <c r="H18">
        <f t="shared" si="0"/>
        <v>3</v>
      </c>
      <c r="I18">
        <f t="shared" si="1"/>
        <v>1497</v>
      </c>
      <c r="J18" t="str">
        <f t="shared" si="2"/>
        <v>Feb-2024</v>
      </c>
    </row>
    <row r="19" spans="1:10" x14ac:dyDescent="0.25">
      <c r="A19" t="s">
        <v>33</v>
      </c>
      <c r="B19" s="2">
        <v>45347</v>
      </c>
      <c r="C19" s="2">
        <v>45689</v>
      </c>
      <c r="D19" t="s">
        <v>12</v>
      </c>
      <c r="E19">
        <v>999</v>
      </c>
      <c r="F19" t="s">
        <v>13</v>
      </c>
      <c r="G19" t="s">
        <v>14</v>
      </c>
      <c r="H19">
        <f t="shared" si="0"/>
        <v>11</v>
      </c>
      <c r="I19">
        <f t="shared" si="1"/>
        <v>0</v>
      </c>
      <c r="J19" t="str">
        <f t="shared" si="2"/>
        <v>Feb-2024</v>
      </c>
    </row>
    <row r="20" spans="1:10" x14ac:dyDescent="0.25">
      <c r="A20" t="s">
        <v>34</v>
      </c>
      <c r="B20" s="2">
        <v>45350</v>
      </c>
      <c r="C20" s="2">
        <v>45493</v>
      </c>
      <c r="D20" t="s">
        <v>18</v>
      </c>
      <c r="E20">
        <v>699</v>
      </c>
      <c r="F20" t="s">
        <v>9</v>
      </c>
      <c r="G20" t="s">
        <v>16</v>
      </c>
      <c r="H20">
        <f t="shared" si="0"/>
        <v>4</v>
      </c>
      <c r="I20">
        <f t="shared" si="1"/>
        <v>2796</v>
      </c>
      <c r="J20" t="str">
        <f t="shared" si="2"/>
        <v>Feb-2024</v>
      </c>
    </row>
    <row r="21" spans="1:10" x14ac:dyDescent="0.25">
      <c r="A21" t="s">
        <v>35</v>
      </c>
      <c r="B21" s="2">
        <v>45352</v>
      </c>
      <c r="C21" s="2">
        <v>45689</v>
      </c>
      <c r="D21" t="s">
        <v>12</v>
      </c>
      <c r="E21">
        <v>999</v>
      </c>
      <c r="F21" t="s">
        <v>13</v>
      </c>
      <c r="G21" t="s">
        <v>14</v>
      </c>
      <c r="H21">
        <f t="shared" si="0"/>
        <v>11</v>
      </c>
      <c r="I21">
        <f t="shared" si="1"/>
        <v>0</v>
      </c>
      <c r="J21" t="str">
        <f t="shared" si="2"/>
        <v>Mar-2024</v>
      </c>
    </row>
    <row r="22" spans="1:10" x14ac:dyDescent="0.25">
      <c r="A22" t="s">
        <v>36</v>
      </c>
      <c r="B22" s="2">
        <v>45356</v>
      </c>
      <c r="C22" s="2">
        <v>45522</v>
      </c>
      <c r="D22" t="s">
        <v>8</v>
      </c>
      <c r="E22">
        <v>499</v>
      </c>
      <c r="F22" t="s">
        <v>9</v>
      </c>
      <c r="G22" t="s">
        <v>10</v>
      </c>
      <c r="H22">
        <f t="shared" si="0"/>
        <v>5</v>
      </c>
      <c r="I22">
        <f t="shared" si="1"/>
        <v>2495</v>
      </c>
      <c r="J22" t="str">
        <f t="shared" si="2"/>
        <v>Mar-2024</v>
      </c>
    </row>
    <row r="23" spans="1:10" x14ac:dyDescent="0.25">
      <c r="A23" t="s">
        <v>37</v>
      </c>
      <c r="B23" s="2">
        <v>45358</v>
      </c>
      <c r="C23" s="2">
        <v>45689</v>
      </c>
      <c r="D23" t="s">
        <v>12</v>
      </c>
      <c r="E23">
        <v>999</v>
      </c>
      <c r="F23" t="s">
        <v>13</v>
      </c>
      <c r="G23" t="s">
        <v>14</v>
      </c>
      <c r="H23">
        <f t="shared" si="0"/>
        <v>10</v>
      </c>
      <c r="I23">
        <f t="shared" si="1"/>
        <v>0</v>
      </c>
      <c r="J23" t="str">
        <f t="shared" si="2"/>
        <v>Mar-2024</v>
      </c>
    </row>
    <row r="24" spans="1:10" x14ac:dyDescent="0.25">
      <c r="A24" t="s">
        <v>38</v>
      </c>
      <c r="B24" s="2">
        <v>45361</v>
      </c>
      <c r="C24" s="2">
        <v>45557</v>
      </c>
      <c r="D24" t="s">
        <v>18</v>
      </c>
      <c r="E24">
        <v>699</v>
      </c>
      <c r="F24" t="s">
        <v>9</v>
      </c>
      <c r="G24" t="s">
        <v>16</v>
      </c>
      <c r="H24">
        <f t="shared" si="0"/>
        <v>6</v>
      </c>
      <c r="I24">
        <f t="shared" si="1"/>
        <v>4194</v>
      </c>
      <c r="J24" t="str">
        <f t="shared" si="2"/>
        <v>Mar-2024</v>
      </c>
    </row>
    <row r="25" spans="1:10" x14ac:dyDescent="0.25">
      <c r="A25" t="s">
        <v>39</v>
      </c>
      <c r="B25" s="2">
        <v>45363</v>
      </c>
      <c r="C25" s="2">
        <v>45689</v>
      </c>
      <c r="D25" t="s">
        <v>12</v>
      </c>
      <c r="E25">
        <v>999</v>
      </c>
      <c r="F25" t="s">
        <v>13</v>
      </c>
      <c r="G25" t="s">
        <v>14</v>
      </c>
      <c r="H25">
        <f t="shared" si="0"/>
        <v>10</v>
      </c>
      <c r="I25">
        <f t="shared" si="1"/>
        <v>0</v>
      </c>
      <c r="J25" t="str">
        <f t="shared" si="2"/>
        <v>Mar-2024</v>
      </c>
    </row>
    <row r="26" spans="1:10" x14ac:dyDescent="0.25">
      <c r="A26" t="s">
        <v>40</v>
      </c>
      <c r="B26" s="2">
        <v>45366</v>
      </c>
      <c r="C26" s="2">
        <v>45503</v>
      </c>
      <c r="D26" t="s">
        <v>8</v>
      </c>
      <c r="E26">
        <v>499</v>
      </c>
      <c r="F26" t="s">
        <v>9</v>
      </c>
      <c r="G26" t="s">
        <v>20</v>
      </c>
      <c r="H26">
        <f t="shared" si="0"/>
        <v>4</v>
      </c>
      <c r="I26">
        <f t="shared" si="1"/>
        <v>1996</v>
      </c>
      <c r="J26" t="str">
        <f t="shared" si="2"/>
        <v>Mar-2024</v>
      </c>
    </row>
    <row r="27" spans="1:10" x14ac:dyDescent="0.25">
      <c r="A27" t="s">
        <v>41</v>
      </c>
      <c r="B27" s="2">
        <v>45369</v>
      </c>
      <c r="C27" s="2">
        <v>45689</v>
      </c>
      <c r="D27" t="s">
        <v>18</v>
      </c>
      <c r="E27">
        <v>699</v>
      </c>
      <c r="F27" t="s">
        <v>13</v>
      </c>
      <c r="G27" t="s">
        <v>14</v>
      </c>
      <c r="H27">
        <f t="shared" si="0"/>
        <v>10</v>
      </c>
      <c r="I27">
        <f t="shared" si="1"/>
        <v>0</v>
      </c>
      <c r="J27" t="str">
        <f t="shared" si="2"/>
        <v>Mar-2024</v>
      </c>
    </row>
    <row r="28" spans="1:10" x14ac:dyDescent="0.25">
      <c r="A28" t="s">
        <v>42</v>
      </c>
      <c r="B28" s="2">
        <v>45371</v>
      </c>
      <c r="C28" s="2">
        <v>45519</v>
      </c>
      <c r="D28" t="s">
        <v>8</v>
      </c>
      <c r="E28">
        <v>499</v>
      </c>
      <c r="F28" t="s">
        <v>9</v>
      </c>
      <c r="G28" t="s">
        <v>10</v>
      </c>
      <c r="H28">
        <f t="shared" si="0"/>
        <v>4</v>
      </c>
      <c r="I28">
        <f t="shared" si="1"/>
        <v>1996</v>
      </c>
      <c r="J28" t="str">
        <f t="shared" si="2"/>
        <v>Mar-2024</v>
      </c>
    </row>
    <row r="29" spans="1:10" x14ac:dyDescent="0.25">
      <c r="A29" t="s">
        <v>43</v>
      </c>
      <c r="B29" s="2">
        <v>45376</v>
      </c>
      <c r="C29" s="2">
        <v>45689</v>
      </c>
      <c r="D29" t="s">
        <v>12</v>
      </c>
      <c r="E29">
        <v>999</v>
      </c>
      <c r="F29" t="s">
        <v>13</v>
      </c>
      <c r="G29" t="s">
        <v>14</v>
      </c>
      <c r="H29">
        <f t="shared" si="0"/>
        <v>10</v>
      </c>
      <c r="I29">
        <f t="shared" si="1"/>
        <v>0</v>
      </c>
      <c r="J29" t="str">
        <f t="shared" si="2"/>
        <v>Mar-2024</v>
      </c>
    </row>
    <row r="30" spans="1:10" x14ac:dyDescent="0.25">
      <c r="A30" t="s">
        <v>44</v>
      </c>
      <c r="B30" s="2">
        <v>45379</v>
      </c>
      <c r="C30" s="2">
        <v>45577</v>
      </c>
      <c r="D30" t="s">
        <v>18</v>
      </c>
      <c r="E30">
        <v>699</v>
      </c>
      <c r="F30" t="s">
        <v>9</v>
      </c>
      <c r="G30" t="s">
        <v>16</v>
      </c>
      <c r="H30">
        <f t="shared" si="0"/>
        <v>6</v>
      </c>
      <c r="I30">
        <f t="shared" si="1"/>
        <v>4194</v>
      </c>
      <c r="J30" t="str">
        <f t="shared" si="2"/>
        <v>Mar-2024</v>
      </c>
    </row>
    <row r="31" spans="1:10" x14ac:dyDescent="0.25">
      <c r="A31" t="s">
        <v>45</v>
      </c>
      <c r="B31" s="2">
        <v>45383</v>
      </c>
      <c r="C31" s="2">
        <v>45689</v>
      </c>
      <c r="D31" t="s">
        <v>12</v>
      </c>
      <c r="E31">
        <v>999</v>
      </c>
      <c r="F31" t="s">
        <v>13</v>
      </c>
      <c r="G31" t="s">
        <v>14</v>
      </c>
      <c r="H31">
        <f t="shared" si="0"/>
        <v>10</v>
      </c>
      <c r="I31">
        <f t="shared" si="1"/>
        <v>0</v>
      </c>
      <c r="J31" t="str">
        <f t="shared" si="2"/>
        <v>Apr-2024</v>
      </c>
    </row>
    <row r="32" spans="1:10" x14ac:dyDescent="0.25">
      <c r="A32" t="s">
        <v>46</v>
      </c>
      <c r="B32" s="2">
        <v>45387</v>
      </c>
      <c r="C32" s="2">
        <v>45555</v>
      </c>
      <c r="D32" t="s">
        <v>8</v>
      </c>
      <c r="E32">
        <v>499</v>
      </c>
      <c r="F32" t="s">
        <v>9</v>
      </c>
      <c r="G32" t="s">
        <v>10</v>
      </c>
      <c r="H32">
        <f t="shared" si="0"/>
        <v>5</v>
      </c>
      <c r="I32">
        <f t="shared" si="1"/>
        <v>2495</v>
      </c>
      <c r="J32" t="str">
        <f t="shared" si="2"/>
        <v>Apr-2024</v>
      </c>
    </row>
    <row r="33" spans="1:10" x14ac:dyDescent="0.25">
      <c r="A33" t="s">
        <v>47</v>
      </c>
      <c r="B33" s="2">
        <v>45389</v>
      </c>
      <c r="C33" s="2">
        <v>45689</v>
      </c>
      <c r="D33" t="s">
        <v>12</v>
      </c>
      <c r="E33">
        <v>999</v>
      </c>
      <c r="F33" t="s">
        <v>13</v>
      </c>
      <c r="G33" t="s">
        <v>14</v>
      </c>
      <c r="H33">
        <f t="shared" si="0"/>
        <v>9</v>
      </c>
      <c r="I33">
        <f t="shared" si="1"/>
        <v>0</v>
      </c>
      <c r="J33" t="str">
        <f t="shared" si="2"/>
        <v>Apr-2024</v>
      </c>
    </row>
    <row r="34" spans="1:10" x14ac:dyDescent="0.25">
      <c r="A34" t="s">
        <v>48</v>
      </c>
      <c r="B34" s="2">
        <v>45392</v>
      </c>
      <c r="C34" s="2">
        <v>45519</v>
      </c>
      <c r="D34" t="s">
        <v>18</v>
      </c>
      <c r="E34">
        <v>699</v>
      </c>
      <c r="F34" t="s">
        <v>9</v>
      </c>
      <c r="G34" t="s">
        <v>20</v>
      </c>
      <c r="H34">
        <f t="shared" ref="H34:H51" si="3">DATEDIF(B34,C34,"M")</f>
        <v>4</v>
      </c>
      <c r="I34">
        <f t="shared" ref="I34:I51" si="4">IF(F34="Churned",H34*E34,0)</f>
        <v>2796</v>
      </c>
      <c r="J34" t="str">
        <f t="shared" ref="J34:J51" si="5">TEXT(B34,"MMM-YYYY")</f>
        <v>Apr-2024</v>
      </c>
    </row>
    <row r="35" spans="1:10" x14ac:dyDescent="0.25">
      <c r="A35" t="s">
        <v>49</v>
      </c>
      <c r="B35" s="2">
        <v>45394</v>
      </c>
      <c r="C35" s="2">
        <v>45689</v>
      </c>
      <c r="D35" t="s">
        <v>12</v>
      </c>
      <c r="E35">
        <v>999</v>
      </c>
      <c r="F35" t="s">
        <v>13</v>
      </c>
      <c r="G35" t="s">
        <v>14</v>
      </c>
      <c r="H35">
        <f t="shared" si="3"/>
        <v>9</v>
      </c>
      <c r="I35">
        <f t="shared" si="4"/>
        <v>0</v>
      </c>
      <c r="J35" t="str">
        <f t="shared" si="5"/>
        <v>Apr-2024</v>
      </c>
    </row>
    <row r="36" spans="1:10" x14ac:dyDescent="0.25">
      <c r="A36" t="s">
        <v>50</v>
      </c>
      <c r="B36" s="2">
        <v>45397</v>
      </c>
      <c r="C36" s="2">
        <v>45583</v>
      </c>
      <c r="D36" t="s">
        <v>8</v>
      </c>
      <c r="E36">
        <v>499</v>
      </c>
      <c r="F36" t="s">
        <v>9</v>
      </c>
      <c r="G36" t="s">
        <v>16</v>
      </c>
      <c r="H36">
        <f t="shared" si="3"/>
        <v>6</v>
      </c>
      <c r="I36">
        <f t="shared" si="4"/>
        <v>2994</v>
      </c>
      <c r="J36" t="str">
        <f t="shared" si="5"/>
        <v>Apr-2024</v>
      </c>
    </row>
    <row r="37" spans="1:10" x14ac:dyDescent="0.25">
      <c r="A37" t="s">
        <v>51</v>
      </c>
      <c r="B37" s="2">
        <v>45400</v>
      </c>
      <c r="C37" s="2">
        <v>45689</v>
      </c>
      <c r="D37" t="s">
        <v>18</v>
      </c>
      <c r="E37">
        <v>699</v>
      </c>
      <c r="F37" t="s">
        <v>13</v>
      </c>
      <c r="G37" t="s">
        <v>14</v>
      </c>
      <c r="H37">
        <f t="shared" si="3"/>
        <v>9</v>
      </c>
      <c r="I37">
        <f t="shared" si="4"/>
        <v>0</v>
      </c>
      <c r="J37" t="str">
        <f t="shared" si="5"/>
        <v>Apr-2024</v>
      </c>
    </row>
    <row r="38" spans="1:10" x14ac:dyDescent="0.25">
      <c r="A38" t="s">
        <v>52</v>
      </c>
      <c r="B38" s="2">
        <v>45402</v>
      </c>
      <c r="C38" s="2">
        <v>45557</v>
      </c>
      <c r="D38" t="s">
        <v>8</v>
      </c>
      <c r="E38">
        <v>499</v>
      </c>
      <c r="F38" t="s">
        <v>9</v>
      </c>
      <c r="G38" t="s">
        <v>10</v>
      </c>
      <c r="H38">
        <f t="shared" si="3"/>
        <v>5</v>
      </c>
      <c r="I38">
        <f t="shared" si="4"/>
        <v>2495</v>
      </c>
      <c r="J38" t="str">
        <f t="shared" si="5"/>
        <v>Apr-2024</v>
      </c>
    </row>
    <row r="39" spans="1:10" x14ac:dyDescent="0.25">
      <c r="A39" t="s">
        <v>53</v>
      </c>
      <c r="B39" s="2">
        <v>45407</v>
      </c>
      <c r="C39" s="2">
        <v>45689</v>
      </c>
      <c r="D39" t="s">
        <v>12</v>
      </c>
      <c r="E39">
        <v>999</v>
      </c>
      <c r="F39" t="s">
        <v>13</v>
      </c>
      <c r="G39" t="s">
        <v>14</v>
      </c>
      <c r="H39">
        <f t="shared" si="3"/>
        <v>9</v>
      </c>
      <c r="I39">
        <f t="shared" si="4"/>
        <v>0</v>
      </c>
      <c r="J39" t="str">
        <f t="shared" si="5"/>
        <v>Apr-2024</v>
      </c>
    </row>
    <row r="40" spans="1:10" x14ac:dyDescent="0.25">
      <c r="A40" t="s">
        <v>54</v>
      </c>
      <c r="B40" s="2">
        <v>45410</v>
      </c>
      <c r="C40" s="2">
        <v>45606</v>
      </c>
      <c r="D40" t="s">
        <v>18</v>
      </c>
      <c r="E40">
        <v>699</v>
      </c>
      <c r="F40" t="s">
        <v>9</v>
      </c>
      <c r="G40" t="s">
        <v>16</v>
      </c>
      <c r="H40">
        <f t="shared" si="3"/>
        <v>6</v>
      </c>
      <c r="I40">
        <f t="shared" si="4"/>
        <v>4194</v>
      </c>
      <c r="J40" t="str">
        <f t="shared" si="5"/>
        <v>Apr-2024</v>
      </c>
    </row>
    <row r="41" spans="1:10" x14ac:dyDescent="0.25">
      <c r="A41" t="s">
        <v>55</v>
      </c>
      <c r="B41" s="2">
        <v>45413</v>
      </c>
      <c r="C41" s="2">
        <v>45689</v>
      </c>
      <c r="D41" t="s">
        <v>12</v>
      </c>
      <c r="E41">
        <v>999</v>
      </c>
      <c r="F41" t="s">
        <v>13</v>
      </c>
      <c r="G41" t="s">
        <v>14</v>
      </c>
      <c r="H41">
        <f t="shared" si="3"/>
        <v>9</v>
      </c>
      <c r="I41">
        <f t="shared" si="4"/>
        <v>0</v>
      </c>
      <c r="J41" t="str">
        <f t="shared" si="5"/>
        <v>May-2024</v>
      </c>
    </row>
    <row r="42" spans="1:10" x14ac:dyDescent="0.25">
      <c r="A42" t="s">
        <v>56</v>
      </c>
      <c r="B42" s="2">
        <v>45417</v>
      </c>
      <c r="C42" s="2">
        <v>45550</v>
      </c>
      <c r="D42" t="s">
        <v>8</v>
      </c>
      <c r="E42">
        <v>499</v>
      </c>
      <c r="F42" t="s">
        <v>9</v>
      </c>
      <c r="G42" t="s">
        <v>10</v>
      </c>
      <c r="H42">
        <f t="shared" si="3"/>
        <v>4</v>
      </c>
      <c r="I42">
        <f t="shared" si="4"/>
        <v>1996</v>
      </c>
      <c r="J42" t="str">
        <f t="shared" si="5"/>
        <v>May-2024</v>
      </c>
    </row>
    <row r="43" spans="1:10" x14ac:dyDescent="0.25">
      <c r="A43" t="s">
        <v>57</v>
      </c>
      <c r="B43" s="2">
        <v>45419</v>
      </c>
      <c r="C43" s="2">
        <v>45689</v>
      </c>
      <c r="D43" t="s">
        <v>12</v>
      </c>
      <c r="E43">
        <v>999</v>
      </c>
      <c r="F43" t="s">
        <v>13</v>
      </c>
      <c r="G43" t="s">
        <v>14</v>
      </c>
      <c r="H43">
        <f t="shared" si="3"/>
        <v>8</v>
      </c>
      <c r="I43">
        <f t="shared" si="4"/>
        <v>0</v>
      </c>
      <c r="J43" t="str">
        <f t="shared" si="5"/>
        <v>May-2024</v>
      </c>
    </row>
    <row r="44" spans="1:10" x14ac:dyDescent="0.25">
      <c r="A44" t="s">
        <v>58</v>
      </c>
      <c r="B44" s="2">
        <v>45422</v>
      </c>
      <c r="C44" s="2">
        <v>45585</v>
      </c>
      <c r="D44" t="s">
        <v>18</v>
      </c>
      <c r="E44">
        <v>699</v>
      </c>
      <c r="F44" t="s">
        <v>9</v>
      </c>
      <c r="G44" t="s">
        <v>20</v>
      </c>
      <c r="H44">
        <f t="shared" si="3"/>
        <v>5</v>
      </c>
      <c r="I44">
        <f t="shared" si="4"/>
        <v>3495</v>
      </c>
      <c r="J44" t="str">
        <f t="shared" si="5"/>
        <v>May-2024</v>
      </c>
    </row>
    <row r="45" spans="1:10" x14ac:dyDescent="0.25">
      <c r="A45" t="s">
        <v>59</v>
      </c>
      <c r="B45" s="2">
        <v>45424</v>
      </c>
      <c r="C45" s="2">
        <v>45689</v>
      </c>
      <c r="D45" t="s">
        <v>12</v>
      </c>
      <c r="E45">
        <v>999</v>
      </c>
      <c r="F45" t="s">
        <v>13</v>
      </c>
      <c r="G45" t="s">
        <v>14</v>
      </c>
      <c r="H45">
        <f t="shared" si="3"/>
        <v>8</v>
      </c>
      <c r="I45">
        <f t="shared" si="4"/>
        <v>0</v>
      </c>
      <c r="J45" t="str">
        <f t="shared" si="5"/>
        <v>May-2024</v>
      </c>
    </row>
    <row r="46" spans="1:10" x14ac:dyDescent="0.25">
      <c r="A46" t="s">
        <v>60</v>
      </c>
      <c r="B46" s="2">
        <v>45427</v>
      </c>
      <c r="C46" s="2">
        <v>45618</v>
      </c>
      <c r="D46" t="s">
        <v>8</v>
      </c>
      <c r="E46">
        <v>499</v>
      </c>
      <c r="F46" t="s">
        <v>9</v>
      </c>
      <c r="G46" t="s">
        <v>16</v>
      </c>
      <c r="H46">
        <f t="shared" si="3"/>
        <v>6</v>
      </c>
      <c r="I46">
        <f t="shared" si="4"/>
        <v>2994</v>
      </c>
      <c r="J46" t="str">
        <f t="shared" si="5"/>
        <v>May-2024</v>
      </c>
    </row>
    <row r="47" spans="1:10" x14ac:dyDescent="0.25">
      <c r="A47" t="s">
        <v>61</v>
      </c>
      <c r="B47" s="2">
        <v>45430</v>
      </c>
      <c r="C47" s="2">
        <v>45689</v>
      </c>
      <c r="D47" t="s">
        <v>18</v>
      </c>
      <c r="E47">
        <v>699</v>
      </c>
      <c r="F47" t="s">
        <v>13</v>
      </c>
      <c r="G47" t="s">
        <v>14</v>
      </c>
      <c r="H47">
        <f t="shared" si="3"/>
        <v>8</v>
      </c>
      <c r="I47">
        <f t="shared" si="4"/>
        <v>0</v>
      </c>
      <c r="J47" t="str">
        <f t="shared" si="5"/>
        <v>May-2024</v>
      </c>
    </row>
    <row r="48" spans="1:10" x14ac:dyDescent="0.25">
      <c r="A48" t="s">
        <v>62</v>
      </c>
      <c r="B48" s="2">
        <v>45432</v>
      </c>
      <c r="C48" s="2">
        <v>45583</v>
      </c>
      <c r="D48" t="s">
        <v>8</v>
      </c>
      <c r="E48">
        <v>499</v>
      </c>
      <c r="F48" t="s">
        <v>9</v>
      </c>
      <c r="G48" t="s">
        <v>10</v>
      </c>
      <c r="H48">
        <f t="shared" si="3"/>
        <v>4</v>
      </c>
      <c r="I48">
        <f t="shared" si="4"/>
        <v>1996</v>
      </c>
      <c r="J48" t="str">
        <f t="shared" si="5"/>
        <v>May-2024</v>
      </c>
    </row>
    <row r="49" spans="1:10" x14ac:dyDescent="0.25">
      <c r="A49" t="s">
        <v>63</v>
      </c>
      <c r="B49" s="2">
        <v>45437</v>
      </c>
      <c r="C49" s="2">
        <v>45689</v>
      </c>
      <c r="D49" t="s">
        <v>12</v>
      </c>
      <c r="E49">
        <v>999</v>
      </c>
      <c r="F49" t="s">
        <v>13</v>
      </c>
      <c r="G49" t="s">
        <v>14</v>
      </c>
      <c r="H49">
        <f t="shared" si="3"/>
        <v>8</v>
      </c>
      <c r="I49">
        <f t="shared" si="4"/>
        <v>0</v>
      </c>
      <c r="J49" t="str">
        <f t="shared" si="5"/>
        <v>May-2024</v>
      </c>
    </row>
    <row r="50" spans="1:10" x14ac:dyDescent="0.25">
      <c r="A50" t="s">
        <v>64</v>
      </c>
      <c r="B50" s="2">
        <v>45440</v>
      </c>
      <c r="C50" s="2">
        <v>45641</v>
      </c>
      <c r="D50" t="s">
        <v>18</v>
      </c>
      <c r="E50">
        <v>699</v>
      </c>
      <c r="F50" t="s">
        <v>9</v>
      </c>
      <c r="G50" t="s">
        <v>16</v>
      </c>
      <c r="H50">
        <f t="shared" si="3"/>
        <v>6</v>
      </c>
      <c r="I50">
        <f t="shared" si="4"/>
        <v>4194</v>
      </c>
      <c r="J50" t="str">
        <f t="shared" si="5"/>
        <v>May-2024</v>
      </c>
    </row>
    <row r="51" spans="1:10" x14ac:dyDescent="0.25">
      <c r="A51" t="s">
        <v>65</v>
      </c>
      <c r="B51" s="2">
        <v>45444</v>
      </c>
      <c r="C51" s="2">
        <v>45689</v>
      </c>
      <c r="D51" t="s">
        <v>12</v>
      </c>
      <c r="E51">
        <v>999</v>
      </c>
      <c r="F51" t="s">
        <v>13</v>
      </c>
      <c r="G51" t="s">
        <v>14</v>
      </c>
      <c r="H51">
        <f t="shared" si="3"/>
        <v>8</v>
      </c>
      <c r="I51">
        <f t="shared" si="4"/>
        <v>0</v>
      </c>
      <c r="J51" t="str">
        <f t="shared" si="5"/>
        <v>Jun-2024</v>
      </c>
    </row>
    <row r="52" spans="1:10" x14ac:dyDescent="0.25">
      <c r="J52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workbookViewId="0">
      <selection activeCell="M28" sqref="M28"/>
    </sheetView>
  </sheetViews>
  <sheetFormatPr defaultRowHeight="15" x14ac:dyDescent="0.25"/>
  <cols>
    <col min="6" max="6" width="10.7109375" bestFit="1" customWidth="1"/>
  </cols>
  <sheetData>
    <row r="1" spans="1:2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5">
      <c r="A13" s="8"/>
      <c r="B13" s="8"/>
      <c r="C13" s="8"/>
      <c r="D13" s="1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5">
      <c r="A14" s="8"/>
      <c r="B14" s="8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4" spans="1:22" x14ac:dyDescent="0.25">
      <c r="F54" t="str">
        <f>"Total J63Customers"&amp;CHAR(10)&amp;COUNTA([1]Raw_Data!A2:A51)</f>
        <v>Total J63Customers
50</v>
      </c>
    </row>
    <row r="56" spans="1:22" x14ac:dyDescent="0.25">
      <c r="E56" s="7"/>
    </row>
    <row r="57" spans="1:22" x14ac:dyDescent="0.25">
      <c r="A57" s="7"/>
      <c r="F57" s="13">
        <f ca="1">G61="Revenue Lost"&amp;CHAR(10)&amp;"₹ "&amp;TEXT(F57,"#,##0")</f>
        <v>0</v>
      </c>
      <c r="H57">
        <f>SUM('Clean dataset'!I:I)</f>
        <v>70078</v>
      </c>
    </row>
    <row r="58" spans="1:22" x14ac:dyDescent="0.25">
      <c r="D58" t="e">
        <f>SUM([1]Raw_Data!I2:I51)</f>
        <v>#REF!</v>
      </c>
    </row>
    <row r="61" spans="1:22" x14ac:dyDescent="0.25">
      <c r="F61" t="str">
        <f>"Revenue Lost"&amp;CHAR(10)&amp;"₹ "&amp;TEXT(H57,"#,##0")</f>
        <v>Revenue Lost
₹ 70,078</v>
      </c>
      <c r="I61" t="str">
        <f>"Churn Rate "&amp;TEXT(COUNTIF('Clean dataset'!F:F,"Churned")/COUNTA('Clean dataset'!A:A),"0%")</f>
        <v>Churn Rate 49%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6" workbookViewId="0">
      <selection activeCell="F10" sqref="F10"/>
    </sheetView>
  </sheetViews>
  <sheetFormatPr defaultRowHeight="15" x14ac:dyDescent="0.25"/>
  <sheetData>
    <row r="1" spans="1:7" ht="26.25" x14ac:dyDescent="0.4">
      <c r="G1" s="16" t="s">
        <v>69</v>
      </c>
    </row>
    <row r="2" spans="1:7" ht="23.25" x14ac:dyDescent="0.35">
      <c r="A2" s="20" t="s">
        <v>78</v>
      </c>
      <c r="B2" s="21"/>
      <c r="C2" s="21"/>
    </row>
    <row r="4" spans="1:7" ht="18" x14ac:dyDescent="0.25">
      <c r="A4" s="17" t="s">
        <v>80</v>
      </c>
    </row>
    <row r="5" spans="1:7" x14ac:dyDescent="0.25">
      <c r="A5" s="18"/>
    </row>
    <row r="6" spans="1:7" x14ac:dyDescent="0.25">
      <c r="A6" s="18" t="s">
        <v>70</v>
      </c>
    </row>
    <row r="7" spans="1:7" x14ac:dyDescent="0.25">
      <c r="A7" s="18"/>
    </row>
    <row r="8" spans="1:7" x14ac:dyDescent="0.25">
      <c r="A8" s="18" t="s">
        <v>71</v>
      </c>
    </row>
    <row r="9" spans="1:7" x14ac:dyDescent="0.25">
      <c r="A9" s="18"/>
    </row>
    <row r="10" spans="1:7" x14ac:dyDescent="0.25">
      <c r="A10" s="18" t="s">
        <v>72</v>
      </c>
    </row>
    <row r="11" spans="1:7" x14ac:dyDescent="0.25">
      <c r="A11" s="18"/>
    </row>
    <row r="12" spans="1:7" x14ac:dyDescent="0.25">
      <c r="A12" s="18" t="s">
        <v>73</v>
      </c>
    </row>
    <row r="16" spans="1:7" ht="18.75" x14ac:dyDescent="0.3">
      <c r="A16" s="19" t="s">
        <v>79</v>
      </c>
      <c r="B16" s="19"/>
      <c r="C16" s="19"/>
      <c r="D16" s="19"/>
    </row>
    <row r="17" spans="1:1" x14ac:dyDescent="0.25">
      <c r="A17" s="18"/>
    </row>
    <row r="18" spans="1:1" x14ac:dyDescent="0.25">
      <c r="A18" s="18" t="s">
        <v>74</v>
      </c>
    </row>
    <row r="19" spans="1:1" x14ac:dyDescent="0.25">
      <c r="A19" s="18"/>
    </row>
    <row r="20" spans="1:1" x14ac:dyDescent="0.25">
      <c r="A20" s="18" t="s">
        <v>75</v>
      </c>
    </row>
    <row r="21" spans="1:1" x14ac:dyDescent="0.25">
      <c r="A21" s="18"/>
    </row>
    <row r="22" spans="1:1" x14ac:dyDescent="0.25">
      <c r="A22" s="18" t="s">
        <v>76</v>
      </c>
    </row>
    <row r="23" spans="1:1" x14ac:dyDescent="0.25">
      <c r="A23" s="18"/>
    </row>
    <row r="24" spans="1:1" x14ac:dyDescent="0.25">
      <c r="A24" s="18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Clean dataset</vt:lpstr>
      <vt:lpstr>Dashboard</vt:lpstr>
      <vt:lpstr>insight_Report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2026-02-20T10:57:40Z</cp:lastPrinted>
  <dcterms:created xsi:type="dcterms:W3CDTF">2026-02-20T07:36:30Z</dcterms:created>
  <dcterms:modified xsi:type="dcterms:W3CDTF">2026-02-20T11:04:40Z</dcterms:modified>
</cp:coreProperties>
</file>